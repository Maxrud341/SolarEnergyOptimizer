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G Arbitrage Свод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76A3C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double">
        <color rgb="001F497D"/>
      </top>
      <bottom style="double">
        <color rgb="001F497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5" customWidth="1" min="3" max="3"/>
    <col width="28" customWidth="1" min="4" max="4"/>
    <col width="25" customWidth="1" min="5" max="5"/>
    <col width="33" customWidth="1" min="6" max="6"/>
    <col width="24" customWidth="1" min="7" max="7"/>
    <col width="34" customWidth="1" min="8" max="8"/>
    <col width="33" customWidth="1" min="9" max="9"/>
    <col width="16" customWidth="1" min="10" max="10"/>
  </cols>
  <sheetData>
    <row r="1" ht="30" customHeight="1">
      <c r="A1" s="1" t="inlineStr">
        <is>
          <t>Коммерческий биржевой арбитраж СЭС (Battery-to-Grid) vs Базовая стратегия (Naive)</t>
        </is>
      </c>
    </row>
    <row r="2"/>
    <row r="3" ht="30" customHeight="1">
      <c r="A3" s="2" t="inlineStr">
        <is>
          <t>Месяц</t>
        </is>
      </c>
      <c r="B3" s="2" t="inlineStr">
        <is>
          <t>Часов в выборке</t>
        </is>
      </c>
      <c r="C3" s="2" t="inlineStr">
        <is>
          <t>Генерация СЭС (кВт⋅ч)</t>
        </is>
      </c>
      <c r="D3" s="2" t="inlineStr">
        <is>
          <t>Потребление дома (кВт⋅ч)</t>
        </is>
      </c>
      <c r="E3" s="2" t="inlineStr">
        <is>
          <t>Фин. итог Naive (CZK)</t>
        </is>
      </c>
      <c r="F3" s="2" t="inlineStr">
        <is>
          <t>Фин. итог Arbitrage B2G (CZK)</t>
        </is>
      </c>
      <c r="G3" s="2" t="inlineStr">
        <is>
          <t>Выгода B2G vs Naive (CZK)</t>
        </is>
      </c>
      <c r="H3" s="2" t="inlineStr">
        <is>
          <t>Экспорт в сеть продано (кВт⋅ч)</t>
        </is>
      </c>
      <c r="I3" s="2" t="inlineStr">
        <is>
          <t>Ограничение перетоков (кВт⋅ч)</t>
        </is>
      </c>
      <c r="J3" s="2" t="inlineStr">
        <is>
          <t>Циклов АКБ</t>
        </is>
      </c>
    </row>
    <row r="4" ht="20" customHeight="1">
      <c r="A4" s="3" t="inlineStr">
        <is>
          <t>2025-05</t>
        </is>
      </c>
      <c r="B4" s="3" t="n">
        <v>177</v>
      </c>
      <c r="C4" s="4" t="n">
        <v>234.2</v>
      </c>
      <c r="D4" s="4" t="n">
        <v>304.2</v>
      </c>
      <c r="E4" s="4" t="n">
        <v>-772.9299999999999</v>
      </c>
      <c r="F4" s="4" t="n">
        <v>-527.72</v>
      </c>
      <c r="G4" s="5" t="n">
        <v>245.2</v>
      </c>
      <c r="H4" s="4" t="n">
        <v>18.7</v>
      </c>
      <c r="I4" s="4" t="n">
        <v>23.7</v>
      </c>
      <c r="J4" s="4" t="n">
        <v>6.3</v>
      </c>
    </row>
    <row r="5" ht="20" customHeight="1">
      <c r="A5" s="3" t="inlineStr">
        <is>
          <t>2025-06</t>
        </is>
      </c>
      <c r="B5" s="3" t="n">
        <v>720</v>
      </c>
      <c r="C5" s="4" t="n">
        <v>716.9</v>
      </c>
      <c r="D5" s="4" t="n">
        <v>694</v>
      </c>
      <c r="E5" s="4" t="n">
        <v>-1468.7</v>
      </c>
      <c r="F5" s="4" t="n">
        <v>-779.8200000000001</v>
      </c>
      <c r="G5" s="5" t="n">
        <v>688.88</v>
      </c>
      <c r="H5" s="4" t="n">
        <v>106.3</v>
      </c>
      <c r="I5" s="4" t="n">
        <v>76.2</v>
      </c>
      <c r="J5" s="4" t="n">
        <v>20.4</v>
      </c>
    </row>
    <row r="6" ht="20" customHeight="1">
      <c r="A6" s="3" t="inlineStr">
        <is>
          <t>2025-07</t>
        </is>
      </c>
      <c r="B6" s="3" t="n">
        <v>744</v>
      </c>
      <c r="C6" s="4" t="n">
        <v>322.6</v>
      </c>
      <c r="D6" s="4" t="n">
        <v>240.7</v>
      </c>
      <c r="E6" s="4" t="n">
        <v>-252.49</v>
      </c>
      <c r="F6" s="4" t="n">
        <v>31.33</v>
      </c>
      <c r="G6" s="5" t="n">
        <v>283.82</v>
      </c>
      <c r="H6" s="4" t="n">
        <v>81.3</v>
      </c>
      <c r="I6" s="4" t="n">
        <v>2.5</v>
      </c>
      <c r="J6" s="4" t="n">
        <v>11.4</v>
      </c>
    </row>
    <row r="7" ht="20" customHeight="1">
      <c r="A7" s="3" t="inlineStr">
        <is>
          <t>2025-08</t>
        </is>
      </c>
      <c r="B7" s="3" t="n">
        <v>744</v>
      </c>
      <c r="C7" s="4" t="n">
        <v>377.6</v>
      </c>
      <c r="D7" s="4" t="n">
        <v>348.5</v>
      </c>
      <c r="E7" s="4" t="n">
        <v>-389.21</v>
      </c>
      <c r="F7" s="4" t="n">
        <v>-77.31999999999999</v>
      </c>
      <c r="G7" s="5" t="n">
        <v>311.89</v>
      </c>
      <c r="H7" s="4" t="n">
        <v>59.5</v>
      </c>
      <c r="I7" s="4" t="n">
        <v>8.4</v>
      </c>
      <c r="J7" s="4" t="n">
        <v>13.5</v>
      </c>
    </row>
    <row r="8" ht="20" customHeight="1">
      <c r="A8" s="3" t="inlineStr">
        <is>
          <t>2025-09</t>
        </is>
      </c>
      <c r="B8" s="3" t="n">
        <v>720</v>
      </c>
      <c r="C8" s="4" t="n">
        <v>223.9</v>
      </c>
      <c r="D8" s="4" t="n">
        <v>219.1</v>
      </c>
      <c r="E8" s="4" t="n">
        <v>-302.55</v>
      </c>
      <c r="F8" s="4" t="n">
        <v>-38.81</v>
      </c>
      <c r="G8" s="5" t="n">
        <v>263.74</v>
      </c>
      <c r="H8" s="4" t="n">
        <v>68.7</v>
      </c>
      <c r="I8" s="4" t="n">
        <v>4.2</v>
      </c>
      <c r="J8" s="4" t="n">
        <v>10</v>
      </c>
    </row>
    <row r="9" ht="20" customHeight="1">
      <c r="A9" s="3" t="inlineStr">
        <is>
          <t>2025-10</t>
        </is>
      </c>
      <c r="B9" s="3" t="n">
        <v>744</v>
      </c>
      <c r="C9" s="4" t="n">
        <v>126.5</v>
      </c>
      <c r="D9" s="4" t="n">
        <v>194.1</v>
      </c>
      <c r="E9" s="4" t="n">
        <v>-633.98</v>
      </c>
      <c r="F9" s="4" t="n">
        <v>-412.54</v>
      </c>
      <c r="G9" s="5" t="n">
        <v>221.44</v>
      </c>
      <c r="H9" s="4" t="n">
        <v>3.5</v>
      </c>
      <c r="I9" s="4" t="n">
        <v>0</v>
      </c>
      <c r="J9" s="4" t="n">
        <v>4.1</v>
      </c>
    </row>
    <row r="10" ht="20" customHeight="1">
      <c r="A10" s="3" t="inlineStr">
        <is>
          <t>2025-11</t>
        </is>
      </c>
      <c r="B10" s="3" t="n">
        <v>720</v>
      </c>
      <c r="C10" s="4" t="n">
        <v>91.3</v>
      </c>
      <c r="D10" s="4" t="n">
        <v>177.4</v>
      </c>
      <c r="E10" s="4" t="n">
        <v>-692.6900000000001</v>
      </c>
      <c r="F10" s="4" t="n">
        <v>-498.94</v>
      </c>
      <c r="G10" s="5" t="n">
        <v>193.75</v>
      </c>
      <c r="H10" s="4" t="n">
        <v>0</v>
      </c>
      <c r="I10" s="4" t="n">
        <v>0</v>
      </c>
      <c r="J10" s="4" t="n">
        <v>2.4</v>
      </c>
    </row>
    <row r="11" ht="20" customHeight="1">
      <c r="A11" s="3" t="inlineStr">
        <is>
          <t>2025-12</t>
        </is>
      </c>
      <c r="B11" s="3" t="n">
        <v>744</v>
      </c>
      <c r="C11" s="4" t="n">
        <v>50.3</v>
      </c>
      <c r="D11" s="4" t="n">
        <v>149.6</v>
      </c>
      <c r="E11" s="4" t="n">
        <v>-754.21</v>
      </c>
      <c r="F11" s="4" t="n">
        <v>-559.76</v>
      </c>
      <c r="G11" s="5" t="n">
        <v>194.45</v>
      </c>
      <c r="H11" s="4" t="n">
        <v>0</v>
      </c>
      <c r="I11" s="4" t="n">
        <v>0</v>
      </c>
      <c r="J11" s="4" t="n">
        <v>3</v>
      </c>
    </row>
    <row r="12" ht="20" customHeight="1">
      <c r="A12" s="3" t="inlineStr">
        <is>
          <t>2026-01</t>
        </is>
      </c>
      <c r="B12" s="3" t="n">
        <v>744</v>
      </c>
      <c r="C12" s="4" t="n">
        <v>43</v>
      </c>
      <c r="D12" s="4" t="n">
        <v>135.2</v>
      </c>
      <c r="E12" s="4" t="n">
        <v>-737.0700000000001</v>
      </c>
      <c r="F12" s="4" t="n">
        <v>-577.5</v>
      </c>
      <c r="G12" s="5" t="n">
        <v>159.57</v>
      </c>
      <c r="H12" s="4" t="n">
        <v>3.7</v>
      </c>
      <c r="I12" s="4" t="n">
        <v>0</v>
      </c>
      <c r="J12" s="4" t="n">
        <v>5.1</v>
      </c>
    </row>
    <row r="13" ht="20" customHeight="1">
      <c r="A13" s="3" t="inlineStr">
        <is>
          <t>2026-02</t>
        </is>
      </c>
      <c r="B13" s="3" t="n">
        <v>672</v>
      </c>
      <c r="C13" s="4" t="n">
        <v>95.2</v>
      </c>
      <c r="D13" s="4" t="n">
        <v>163.8</v>
      </c>
      <c r="E13" s="4" t="n">
        <v>-580.75</v>
      </c>
      <c r="F13" s="4" t="n">
        <v>-419.88</v>
      </c>
      <c r="G13" s="5" t="n">
        <v>160.87</v>
      </c>
      <c r="H13" s="4" t="n">
        <v>0</v>
      </c>
      <c r="I13" s="4" t="n">
        <v>0</v>
      </c>
      <c r="J13" s="4" t="n">
        <v>3.2</v>
      </c>
    </row>
    <row r="14" ht="20" customHeight="1">
      <c r="A14" s="3" t="inlineStr">
        <is>
          <t>2026-03</t>
        </is>
      </c>
      <c r="B14" s="3" t="n">
        <v>744</v>
      </c>
      <c r="C14" s="4" t="n">
        <v>250.1</v>
      </c>
      <c r="D14" s="4" t="n">
        <v>311.2</v>
      </c>
      <c r="E14" s="4" t="n">
        <v>-619.11</v>
      </c>
      <c r="F14" s="4" t="n">
        <v>-398.86</v>
      </c>
      <c r="G14" s="5" t="n">
        <v>220.25</v>
      </c>
      <c r="H14" s="4" t="n">
        <v>4.4</v>
      </c>
      <c r="I14" s="4" t="n">
        <v>0</v>
      </c>
      <c r="J14" s="4" t="n">
        <v>7.1</v>
      </c>
    </row>
    <row r="15" ht="20" customHeight="1">
      <c r="A15" s="3" t="inlineStr">
        <is>
          <t>2026-04</t>
        </is>
      </c>
      <c r="B15" s="3" t="n">
        <v>720</v>
      </c>
      <c r="C15" s="4" t="n">
        <v>370.3</v>
      </c>
      <c r="D15" s="4" t="n">
        <v>403</v>
      </c>
      <c r="E15" s="4" t="n">
        <v>-519.01</v>
      </c>
      <c r="F15" s="4" t="n">
        <v>-15.26</v>
      </c>
      <c r="G15" s="5" t="n">
        <v>503.75</v>
      </c>
      <c r="H15" s="4" t="n">
        <v>72.5</v>
      </c>
      <c r="I15" s="4" t="n">
        <v>6.5</v>
      </c>
      <c r="J15" s="4" t="n">
        <v>15.5</v>
      </c>
    </row>
    <row r="16" ht="20" customHeight="1">
      <c r="A16" s="3" t="inlineStr">
        <is>
          <t>2026-05</t>
        </is>
      </c>
      <c r="B16" s="3" t="n">
        <v>744</v>
      </c>
      <c r="C16" s="4" t="n">
        <v>382.4</v>
      </c>
      <c r="D16" s="4" t="n">
        <v>395.2</v>
      </c>
      <c r="E16" s="4" t="n">
        <v>-550.04</v>
      </c>
      <c r="F16" s="4" t="n">
        <v>-124.51</v>
      </c>
      <c r="G16" s="5" t="n">
        <v>425.53</v>
      </c>
      <c r="H16" s="4" t="n">
        <v>59.7</v>
      </c>
      <c r="I16" s="4" t="n">
        <v>17.7</v>
      </c>
      <c r="J16" s="4" t="n">
        <v>12.8</v>
      </c>
    </row>
    <row r="17" ht="20" customHeight="1">
      <c r="A17" s="3" t="inlineStr">
        <is>
          <t>2026-06</t>
        </is>
      </c>
      <c r="B17" s="3" t="n">
        <v>720</v>
      </c>
      <c r="C17" s="4" t="n">
        <v>344.8</v>
      </c>
      <c r="D17" s="4" t="n">
        <v>237.2</v>
      </c>
      <c r="E17" s="4" t="n">
        <v>-133.68</v>
      </c>
      <c r="F17" s="4" t="n">
        <v>367.76</v>
      </c>
      <c r="G17" s="5" t="n">
        <v>501.45</v>
      </c>
      <c r="H17" s="4" t="n">
        <v>123.7</v>
      </c>
      <c r="I17" s="4" t="n">
        <v>1.7</v>
      </c>
      <c r="J17" s="4" t="n">
        <v>15.5</v>
      </c>
    </row>
    <row r="18" ht="20" customHeight="1">
      <c r="A18" s="3" t="inlineStr">
        <is>
          <t>2026-07</t>
        </is>
      </c>
      <c r="B18" s="3" t="n">
        <v>744</v>
      </c>
      <c r="C18" s="4" t="n">
        <v>349.2</v>
      </c>
      <c r="D18" s="4" t="n">
        <v>186.1</v>
      </c>
      <c r="E18" s="4" t="n">
        <v>-139.86</v>
      </c>
      <c r="F18" s="4" t="n">
        <v>264.31</v>
      </c>
      <c r="G18" s="5" t="n">
        <v>404.17</v>
      </c>
      <c r="H18" s="4" t="n">
        <v>143.7</v>
      </c>
      <c r="I18" s="4" t="n">
        <v>11.6</v>
      </c>
      <c r="J18" s="4" t="n">
        <v>17.2</v>
      </c>
    </row>
    <row r="19" ht="20" customHeight="1">
      <c r="A19" s="3" t="inlineStr">
        <is>
          <t>2026-08</t>
        </is>
      </c>
      <c r="B19" s="3" t="n">
        <v>744</v>
      </c>
      <c r="C19" s="4" t="n">
        <v>299.2</v>
      </c>
      <c r="D19" s="4" t="n">
        <v>184.2</v>
      </c>
      <c r="E19" s="4" t="n">
        <v>-85.44</v>
      </c>
      <c r="F19" s="4" t="n">
        <v>251.96</v>
      </c>
      <c r="G19" s="5" t="n">
        <v>337.4</v>
      </c>
      <c r="H19" s="4" t="n">
        <v>115.8</v>
      </c>
      <c r="I19" s="4" t="n">
        <v>2.7</v>
      </c>
      <c r="J19" s="4" t="n">
        <v>13.5</v>
      </c>
    </row>
    <row r="20" ht="20" customHeight="1">
      <c r="A20" s="3" t="inlineStr">
        <is>
          <t>2026-09</t>
        </is>
      </c>
      <c r="B20" s="3" t="n">
        <v>541</v>
      </c>
      <c r="C20" s="4" t="n">
        <v>186.3</v>
      </c>
      <c r="D20" s="4" t="n">
        <v>169.1</v>
      </c>
      <c r="E20" s="4" t="n">
        <v>-254.61</v>
      </c>
      <c r="F20" s="4" t="n">
        <v>29.56</v>
      </c>
      <c r="G20" s="5" t="n">
        <v>284.17</v>
      </c>
      <c r="H20" s="4" t="n">
        <v>63.1</v>
      </c>
      <c r="I20" s="4" t="n">
        <v>0</v>
      </c>
      <c r="J20" s="4" t="n">
        <v>9.800000000000001</v>
      </c>
    </row>
    <row r="21" ht="24" customHeight="1">
      <c r="A21" s="6" t="inlineStr">
        <is>
          <t>ИТОГО</t>
        </is>
      </c>
      <c r="B21" s="7">
        <f>SUM(B4:B20)</f>
        <v/>
      </c>
      <c r="C21" s="7">
        <f>SUM(C4:C20)</f>
        <v/>
      </c>
      <c r="D21" s="7">
        <f>SUM(D4:D20)</f>
        <v/>
      </c>
      <c r="E21" s="7">
        <f>SUM(E4:E20)</f>
        <v/>
      </c>
      <c r="F21" s="7">
        <f>SUM(F4:F20)</f>
        <v/>
      </c>
      <c r="G21" s="7">
        <f>SUM(G4:G20)</f>
        <v/>
      </c>
      <c r="H21" s="7">
        <f>SUM(H4:H20)</f>
        <v/>
      </c>
      <c r="I21" s="7">
        <f>SUM(I4:I20)</f>
        <v/>
      </c>
      <c r="J21" s="7">
        <f>SUM(J4:J20)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2026-10-21T19:20:21Z</dcterms:created>
  <dcterms:modified xmlns:dcterms="http://purl.org/dc/terms/" xmlns:xsi="http://www.w3.org/2001/XMLSchema-instance" xsi:type="dcterms:W3CDTF">2026-10-21T19:20:21Z</dcterms:modified>
</cp:coreProperties>
</file>