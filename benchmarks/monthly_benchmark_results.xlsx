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месяц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A3C"/>
      <sz val="10"/>
    </font>
    <font>
      <name val="Segoe UI"/>
      <b val="1"/>
      <color rgb="001E4620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AD3"/>
        <bgColor rgb="00D9EAD3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double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28" customWidth="1" min="4" max="4"/>
    <col width="23" customWidth="1" min="5" max="5"/>
    <col width="20" customWidth="1" min="6" max="6"/>
    <col width="25" customWidth="1" min="7" max="7"/>
    <col width="22" customWidth="1" min="8" max="8"/>
    <col width="22" customWidth="1" min="9" max="9"/>
    <col width="24" customWidth="1" min="10" max="10"/>
    <col width="24" customWidth="1" min="11" max="11"/>
    <col width="33" customWidth="1" min="12" max="12"/>
    <col width="33" customWidth="1" min="13" max="13"/>
    <col width="28" customWidth="1" min="14" max="14"/>
  </cols>
  <sheetData>
    <row r="1" ht="30" customHeight="1">
      <c r="A1" s="1" t="inlineStr">
        <is>
          <t>Сравнение стратегий оптимизации СЭС (Naive vs V2 vs V3 Dynamic Opp-Cost) по месяцам</t>
        </is>
      </c>
    </row>
    <row r="2"/>
    <row r="3" ht="32" customHeight="1">
      <c r="A3" s="2" t="inlineStr">
        <is>
          <t>Месяц</t>
        </is>
      </c>
      <c r="B3" s="2" t="inlineStr">
        <is>
          <t>Часов в выборке</t>
        </is>
      </c>
      <c r="C3" s="2" t="inlineStr">
        <is>
          <t>Генерация СЭС (кВт⋅ч)</t>
        </is>
      </c>
      <c r="D3" s="2" t="inlineStr">
        <is>
          <t>Потребление дома (кВт⋅ч)</t>
        </is>
      </c>
      <c r="E3" s="2" t="inlineStr">
        <is>
          <t>Расходы Naive (CZK)</t>
        </is>
      </c>
      <c r="F3" s="2" t="inlineStr">
        <is>
          <t>Расходы V3 (CZK)</t>
        </is>
      </c>
      <c r="G3" s="2" t="inlineStr">
        <is>
          <t>Фин. итог Naive (CZK)</t>
        </is>
      </c>
      <c r="H3" s="2" t="inlineStr">
        <is>
          <t>Фин. итог V2 (CZK)</t>
        </is>
      </c>
      <c r="I3" s="2" t="inlineStr">
        <is>
          <t>Фин. итог V3 (CZK)</t>
        </is>
      </c>
      <c r="J3" s="2" t="inlineStr">
        <is>
          <t>Экономия V3 vs Naive (CZK)</t>
        </is>
      </c>
      <c r="K3" s="2" t="inlineStr">
        <is>
          <t>Экономия V3 vs V2 (CZK)</t>
        </is>
      </c>
      <c r="L3" s="2" t="inlineStr">
        <is>
          <t>Нагрев бойлера от СЭС (кВт⋅ч)</t>
        </is>
      </c>
      <c r="M3" s="2" t="inlineStr">
        <is>
          <t>Сброс/Ограничение СЭС (кВт⋅ч)</t>
        </is>
      </c>
      <c r="N3" s="2" t="inlineStr">
        <is>
          <t>Самообеспечение дома (%)</t>
        </is>
      </c>
    </row>
    <row r="4" ht="20" customHeight="1">
      <c r="A4" s="3" t="inlineStr">
        <is>
          <t>2025-05</t>
        </is>
      </c>
      <c r="B4" s="3" t="n">
        <v>177</v>
      </c>
      <c r="C4" s="4" t="n">
        <v>236.1</v>
      </c>
      <c r="D4" s="4" t="n">
        <v>308</v>
      </c>
      <c r="E4" s="4" t="n">
        <v>774.6799999999999</v>
      </c>
      <c r="F4" s="4" t="n">
        <v>497.53</v>
      </c>
      <c r="G4" s="4" t="n">
        <v>-776.36</v>
      </c>
      <c r="H4" s="4" t="n">
        <v>-653.8099999999999</v>
      </c>
      <c r="I4" s="4" t="n">
        <v>-539.28</v>
      </c>
      <c r="J4" s="5" t="n">
        <v>237.08</v>
      </c>
      <c r="K4" s="6" t="n">
        <v>114.53</v>
      </c>
      <c r="L4" s="4" t="n">
        <v>26.9</v>
      </c>
      <c r="M4" s="4" t="n">
        <v>16.4</v>
      </c>
      <c r="N4" s="4" t="n">
        <v>71.7</v>
      </c>
    </row>
    <row r="5" ht="20" customHeight="1">
      <c r="A5" s="7" t="inlineStr">
        <is>
          <t>2025-06</t>
        </is>
      </c>
      <c r="B5" s="7" t="n">
        <v>720</v>
      </c>
      <c r="C5" s="8" t="n">
        <v>731.3</v>
      </c>
      <c r="D5" s="8" t="n">
        <v>697.1</v>
      </c>
      <c r="E5" s="8" t="n">
        <v>1537.47</v>
      </c>
      <c r="F5" s="8" t="n">
        <v>796.64</v>
      </c>
      <c r="G5" s="8" t="n">
        <v>-1452.49</v>
      </c>
      <c r="H5" s="8" t="n">
        <v>-1028.71</v>
      </c>
      <c r="I5" s="8" t="n">
        <v>-819.51</v>
      </c>
      <c r="J5" s="5" t="n">
        <v>632.97</v>
      </c>
      <c r="K5" s="6" t="n">
        <v>209.2</v>
      </c>
      <c r="L5" s="8" t="n">
        <v>161</v>
      </c>
      <c r="M5" s="8" t="n">
        <v>54.5</v>
      </c>
      <c r="N5" s="8" t="n">
        <v>83.09999999999999</v>
      </c>
    </row>
    <row r="6" ht="20" customHeight="1">
      <c r="A6" s="3" t="inlineStr">
        <is>
          <t>2025-07</t>
        </is>
      </c>
      <c r="B6" s="3" t="n">
        <v>744</v>
      </c>
      <c r="C6" s="4" t="n">
        <v>330.2</v>
      </c>
      <c r="D6" s="4" t="n">
        <v>248.4</v>
      </c>
      <c r="E6" s="4" t="n">
        <v>399.61</v>
      </c>
      <c r="F6" s="4" t="n">
        <v>30.63</v>
      </c>
      <c r="G6" s="4" t="n">
        <v>-273.68</v>
      </c>
      <c r="H6" s="4" t="n">
        <v>-32.08</v>
      </c>
      <c r="I6" s="4" t="n">
        <v>-6.39</v>
      </c>
      <c r="J6" s="5" t="n">
        <v>267.29</v>
      </c>
      <c r="K6" s="6" t="n">
        <v>25.69</v>
      </c>
      <c r="L6" s="4" t="n">
        <v>54</v>
      </c>
      <c r="M6" s="4" t="n">
        <v>6.6</v>
      </c>
      <c r="N6" s="4" t="n">
        <v>98.3</v>
      </c>
    </row>
    <row r="7" ht="20" customHeight="1">
      <c r="A7" s="7" t="inlineStr">
        <is>
          <t>2025-08</t>
        </is>
      </c>
      <c r="B7" s="7" t="n">
        <v>744</v>
      </c>
      <c r="C7" s="8" t="n">
        <v>377.6</v>
      </c>
      <c r="D7" s="8" t="n">
        <v>351.6</v>
      </c>
      <c r="E7" s="8" t="n">
        <v>449.2</v>
      </c>
      <c r="F7" s="8" t="n">
        <v>178.96</v>
      </c>
      <c r="G7" s="8" t="n">
        <v>-400.16</v>
      </c>
      <c r="H7" s="8" t="n">
        <v>-194.39</v>
      </c>
      <c r="I7" s="8" t="n">
        <v>-197.74</v>
      </c>
      <c r="J7" s="5" t="n">
        <v>202.42</v>
      </c>
      <c r="K7" s="6" t="n">
        <v>-3.35</v>
      </c>
      <c r="L7" s="8" t="n">
        <v>64.09999999999999</v>
      </c>
      <c r="M7" s="8" t="n">
        <v>8.4</v>
      </c>
      <c r="N7" s="8" t="n">
        <v>90.40000000000001</v>
      </c>
    </row>
    <row r="8" ht="20" customHeight="1">
      <c r="A8" s="3" t="inlineStr">
        <is>
          <t>2025-09</t>
        </is>
      </c>
      <c r="B8" s="3" t="n">
        <v>720</v>
      </c>
      <c r="C8" s="4" t="n">
        <v>250.6</v>
      </c>
      <c r="D8" s="4" t="n">
        <v>233.5</v>
      </c>
      <c r="E8" s="4" t="n">
        <v>341.23</v>
      </c>
      <c r="F8" s="4" t="n">
        <v>141.82</v>
      </c>
      <c r="G8" s="4" t="n">
        <v>-282.42</v>
      </c>
      <c r="H8" s="4" t="n">
        <v>-160.66</v>
      </c>
      <c r="I8" s="4" t="n">
        <v>-143.01</v>
      </c>
      <c r="J8" s="5" t="n">
        <v>139.42</v>
      </c>
      <c r="K8" s="6" t="n">
        <v>17.65</v>
      </c>
      <c r="L8" s="4" t="n">
        <v>40.6</v>
      </c>
      <c r="M8" s="4" t="n">
        <v>7.3</v>
      </c>
      <c r="N8" s="4" t="n">
        <v>90.90000000000001</v>
      </c>
    </row>
    <row r="9" ht="20" customHeight="1">
      <c r="A9" s="7" t="inlineStr">
        <is>
          <t>2025-10</t>
        </is>
      </c>
      <c r="B9" s="7" t="n">
        <v>744</v>
      </c>
      <c r="C9" s="8" t="n">
        <v>127.6</v>
      </c>
      <c r="D9" s="8" t="n">
        <v>197.7</v>
      </c>
      <c r="E9" s="8" t="n">
        <v>671.67</v>
      </c>
      <c r="F9" s="8" t="n">
        <v>491.93</v>
      </c>
      <c r="G9" s="8" t="n">
        <v>-642.76</v>
      </c>
      <c r="H9" s="8" t="n">
        <v>-521.54</v>
      </c>
      <c r="I9" s="8" t="n">
        <v>-521.54</v>
      </c>
      <c r="J9" s="5" t="n">
        <v>121.22</v>
      </c>
      <c r="K9" s="6" t="n">
        <v>0</v>
      </c>
      <c r="L9" s="8" t="n">
        <v>0</v>
      </c>
      <c r="M9" s="8" t="n">
        <v>0</v>
      </c>
      <c r="N9" s="8" t="n">
        <v>63.3</v>
      </c>
    </row>
    <row r="10" ht="20" customHeight="1">
      <c r="A10" s="3" t="inlineStr">
        <is>
          <t>2025-11</t>
        </is>
      </c>
      <c r="B10" s="3" t="n">
        <v>720</v>
      </c>
      <c r="C10" s="4" t="n">
        <v>91.8</v>
      </c>
      <c r="D10" s="4" t="n">
        <v>180.6</v>
      </c>
      <c r="E10" s="4" t="n">
        <v>718.3200000000001</v>
      </c>
      <c r="F10" s="4" t="n">
        <v>607.9</v>
      </c>
      <c r="G10" s="4" t="n">
        <v>-701.48</v>
      </c>
      <c r="H10" s="4" t="n">
        <v>-626.9</v>
      </c>
      <c r="I10" s="4" t="n">
        <v>-626.9</v>
      </c>
      <c r="J10" s="5" t="n">
        <v>74.56999999999999</v>
      </c>
      <c r="K10" s="6" t="n">
        <v>0</v>
      </c>
      <c r="L10" s="4" t="n">
        <v>0</v>
      </c>
      <c r="M10" s="4" t="n">
        <v>0</v>
      </c>
      <c r="N10" s="4" t="n">
        <v>50.3</v>
      </c>
    </row>
    <row r="11" ht="20" customHeight="1">
      <c r="A11" s="7" t="inlineStr">
        <is>
          <t>2025-12</t>
        </is>
      </c>
      <c r="B11" s="7" t="n">
        <v>744</v>
      </c>
      <c r="C11" s="8" t="n">
        <v>50.7</v>
      </c>
      <c r="D11" s="8" t="n">
        <v>159.7</v>
      </c>
      <c r="E11" s="8" t="n">
        <v>818.99</v>
      </c>
      <c r="F11" s="8" t="n">
        <v>739.25</v>
      </c>
      <c r="G11" s="8" t="n">
        <v>-808.5599999999999</v>
      </c>
      <c r="H11" s="8" t="n">
        <v>-753.21</v>
      </c>
      <c r="I11" s="8" t="n">
        <v>-753.21</v>
      </c>
      <c r="J11" s="5" t="n">
        <v>55.35</v>
      </c>
      <c r="K11" s="6" t="n">
        <v>0</v>
      </c>
      <c r="L11" s="8" t="n">
        <v>0</v>
      </c>
      <c r="M11" s="8" t="n">
        <v>0</v>
      </c>
      <c r="N11" s="8" t="n">
        <v>31.7</v>
      </c>
    </row>
    <row r="12" ht="20" customHeight="1">
      <c r="A12" s="3" t="inlineStr">
        <is>
          <t>2026-01</t>
        </is>
      </c>
      <c r="B12" s="3" t="n">
        <v>744</v>
      </c>
      <c r="C12" s="4" t="n">
        <v>44</v>
      </c>
      <c r="D12" s="4" t="n">
        <v>153.4</v>
      </c>
      <c r="E12" s="4" t="n">
        <v>866.27</v>
      </c>
      <c r="F12" s="4" t="n">
        <v>822.9</v>
      </c>
      <c r="G12" s="4" t="n">
        <v>-857.76</v>
      </c>
      <c r="H12" s="4" t="n">
        <v>-830.76</v>
      </c>
      <c r="I12" s="4" t="n">
        <v>-830.76</v>
      </c>
      <c r="J12" s="5" t="n">
        <v>27</v>
      </c>
      <c r="K12" s="6" t="n">
        <v>0</v>
      </c>
      <c r="L12" s="4" t="n">
        <v>0</v>
      </c>
      <c r="M12" s="4" t="n">
        <v>0</v>
      </c>
      <c r="N12" s="4" t="n">
        <v>29.1</v>
      </c>
    </row>
    <row r="13" ht="20" customHeight="1">
      <c r="A13" s="7" t="inlineStr">
        <is>
          <t>2026-02</t>
        </is>
      </c>
      <c r="B13" s="7" t="n">
        <v>672</v>
      </c>
      <c r="C13" s="8" t="n">
        <v>95.8</v>
      </c>
      <c r="D13" s="8" t="n">
        <v>169.6</v>
      </c>
      <c r="E13" s="8" t="n">
        <v>615.52</v>
      </c>
      <c r="F13" s="8" t="n">
        <v>519.59</v>
      </c>
      <c r="G13" s="8" t="n">
        <v>-604.72</v>
      </c>
      <c r="H13" s="8" t="n">
        <v>-538.79</v>
      </c>
      <c r="I13" s="8" t="n">
        <v>-538.79</v>
      </c>
      <c r="J13" s="5" t="n">
        <v>65.93000000000001</v>
      </c>
      <c r="K13" s="6" t="n">
        <v>0</v>
      </c>
      <c r="L13" s="8" t="n">
        <v>0</v>
      </c>
      <c r="M13" s="8" t="n">
        <v>0</v>
      </c>
      <c r="N13" s="8" t="n">
        <v>55.9</v>
      </c>
    </row>
    <row r="14" ht="20" customHeight="1">
      <c r="A14" s="3" t="inlineStr">
        <is>
          <t>2026-03</t>
        </is>
      </c>
      <c r="B14" s="3" t="n">
        <v>744</v>
      </c>
      <c r="C14" s="4" t="n">
        <v>250.8</v>
      </c>
      <c r="D14" s="4" t="n">
        <v>479.3</v>
      </c>
      <c r="E14" s="4" t="n">
        <v>1769.08</v>
      </c>
      <c r="F14" s="4" t="n">
        <v>1595.28</v>
      </c>
      <c r="G14" s="4" t="n">
        <v>-1752.54</v>
      </c>
      <c r="H14" s="4" t="n">
        <v>-1637.06</v>
      </c>
      <c r="I14" s="4" t="n">
        <v>-1637.06</v>
      </c>
      <c r="J14" s="5" t="n">
        <v>115.49</v>
      </c>
      <c r="K14" s="6" t="n">
        <v>0</v>
      </c>
      <c r="L14" s="4" t="n">
        <v>0</v>
      </c>
      <c r="M14" s="4" t="n">
        <v>0</v>
      </c>
      <c r="N14" s="4" t="n">
        <v>51.5</v>
      </c>
    </row>
    <row r="15" ht="20" customHeight="1">
      <c r="A15" s="7" t="inlineStr">
        <is>
          <t>2026-04</t>
        </is>
      </c>
      <c r="B15" s="7" t="n">
        <v>720</v>
      </c>
      <c r="C15" s="8" t="n">
        <v>370.3</v>
      </c>
      <c r="D15" s="8" t="n">
        <v>406.3</v>
      </c>
      <c r="E15" s="8" t="n">
        <v>532.8</v>
      </c>
      <c r="F15" s="8" t="n">
        <v>323.06</v>
      </c>
      <c r="G15" s="8" t="n">
        <v>-530.23</v>
      </c>
      <c r="H15" s="8" t="n">
        <v>-377.45</v>
      </c>
      <c r="I15" s="8" t="n">
        <v>-375.68</v>
      </c>
      <c r="J15" s="5" t="n">
        <v>154.55</v>
      </c>
      <c r="K15" s="6" t="n">
        <v>1.77</v>
      </c>
      <c r="L15" s="8" t="n">
        <v>9</v>
      </c>
      <c r="M15" s="8" t="n">
        <v>0.1</v>
      </c>
      <c r="N15" s="8" t="n">
        <v>87.09999999999999</v>
      </c>
    </row>
    <row r="16" ht="20" customHeight="1">
      <c r="A16" s="3" t="inlineStr">
        <is>
          <t>2026-05</t>
        </is>
      </c>
      <c r="B16" s="3" t="n">
        <v>744</v>
      </c>
      <c r="C16" s="4" t="n">
        <v>428.7</v>
      </c>
      <c r="D16" s="4" t="n">
        <v>402.1</v>
      </c>
      <c r="E16" s="4" t="n">
        <v>569.14</v>
      </c>
      <c r="F16" s="4" t="n">
        <v>306.82</v>
      </c>
      <c r="G16" s="4" t="n">
        <v>-457.32</v>
      </c>
      <c r="H16" s="4" t="n">
        <v>-285.98</v>
      </c>
      <c r="I16" s="4" t="n">
        <v>-271.41</v>
      </c>
      <c r="J16" s="5" t="n">
        <v>185.91</v>
      </c>
      <c r="K16" s="6" t="n">
        <v>14.57</v>
      </c>
      <c r="L16" s="4" t="n">
        <v>44.3</v>
      </c>
      <c r="M16" s="4" t="n">
        <v>6.7</v>
      </c>
      <c r="N16" s="4" t="n">
        <v>88.90000000000001</v>
      </c>
    </row>
    <row r="17" ht="20" customHeight="1">
      <c r="A17" s="7" t="inlineStr">
        <is>
          <t>2026-06</t>
        </is>
      </c>
      <c r="B17" s="7" t="n">
        <v>720</v>
      </c>
      <c r="C17" s="8" t="n">
        <v>345.1</v>
      </c>
      <c r="D17" s="8" t="n">
        <v>243.4</v>
      </c>
      <c r="E17" s="8" t="n">
        <v>278.48</v>
      </c>
      <c r="F17" s="8" t="n">
        <v>8.369999999999999</v>
      </c>
      <c r="G17" s="8" t="n">
        <v>-152.56</v>
      </c>
      <c r="H17" s="8" t="n">
        <v>19.35</v>
      </c>
      <c r="I17" s="8" t="n">
        <v>33.83</v>
      </c>
      <c r="J17" s="5" t="n">
        <v>186.4</v>
      </c>
      <c r="K17" s="6" t="n">
        <v>14.48</v>
      </c>
      <c r="L17" s="8" t="n">
        <v>46.3</v>
      </c>
      <c r="M17" s="8" t="n">
        <v>15.1</v>
      </c>
      <c r="N17" s="8" t="n">
        <v>99.40000000000001</v>
      </c>
    </row>
    <row r="18" ht="20" customHeight="1">
      <c r="A18" s="3" t="inlineStr">
        <is>
          <t>2026-07</t>
        </is>
      </c>
      <c r="B18" s="3" t="n">
        <v>744</v>
      </c>
      <c r="C18" s="4" t="n">
        <v>349.4</v>
      </c>
      <c r="D18" s="4" t="n">
        <v>187.1</v>
      </c>
      <c r="E18" s="4" t="n">
        <v>320</v>
      </c>
      <c r="F18" s="4" t="n">
        <v>0</v>
      </c>
      <c r="G18" s="4" t="n">
        <v>-147.23</v>
      </c>
      <c r="H18" s="4" t="n">
        <v>54.2</v>
      </c>
      <c r="I18" s="4" t="n">
        <v>61.96</v>
      </c>
      <c r="J18" s="5" t="n">
        <v>209.2</v>
      </c>
      <c r="K18" s="6" t="n">
        <v>7.76</v>
      </c>
      <c r="L18" s="4" t="n">
        <v>67.09999999999999</v>
      </c>
      <c r="M18" s="4" t="n">
        <v>58.7</v>
      </c>
      <c r="N18" s="4" t="n">
        <v>100</v>
      </c>
    </row>
    <row r="19" ht="20" customHeight="1">
      <c r="A19" s="7" t="inlineStr">
        <is>
          <t>2026-08</t>
        </is>
      </c>
      <c r="B19" s="7" t="n">
        <v>744</v>
      </c>
      <c r="C19" s="8" t="n">
        <v>319.2</v>
      </c>
      <c r="D19" s="8" t="n">
        <v>189.6</v>
      </c>
      <c r="E19" s="8" t="n">
        <v>314.35</v>
      </c>
      <c r="F19" s="8" t="n">
        <v>0</v>
      </c>
      <c r="G19" s="8" t="n">
        <v>-55.57</v>
      </c>
      <c r="H19" s="8" t="n">
        <v>122.21</v>
      </c>
      <c r="I19" s="8" t="n">
        <v>122.72</v>
      </c>
      <c r="J19" s="5" t="n">
        <v>178.29</v>
      </c>
      <c r="K19" s="6" t="n">
        <v>0.51</v>
      </c>
      <c r="L19" s="8" t="n">
        <v>75.2</v>
      </c>
      <c r="M19" s="8" t="n">
        <v>3.8</v>
      </c>
      <c r="N19" s="8" t="n">
        <v>100</v>
      </c>
    </row>
    <row r="20" ht="20" customHeight="1">
      <c r="A20" s="3" t="inlineStr">
        <is>
          <t>2026-09</t>
        </is>
      </c>
      <c r="B20" s="3" t="n">
        <v>541</v>
      </c>
      <c r="C20" s="4" t="n">
        <v>187.3</v>
      </c>
      <c r="D20" s="4" t="n">
        <v>173.8</v>
      </c>
      <c r="E20" s="4" t="n">
        <v>388.99</v>
      </c>
      <c r="F20" s="4" t="n">
        <v>99.38</v>
      </c>
      <c r="G20" s="4" t="n">
        <v>-302.22</v>
      </c>
      <c r="H20" s="4" t="n">
        <v>-165.44</v>
      </c>
      <c r="I20" s="4" t="n">
        <v>-115.91</v>
      </c>
      <c r="J20" s="5" t="n">
        <v>186.31</v>
      </c>
      <c r="K20" s="6" t="n">
        <v>49.53</v>
      </c>
      <c r="L20" s="4" t="n">
        <v>40.7</v>
      </c>
      <c r="M20" s="4" t="n">
        <v>0</v>
      </c>
      <c r="N20" s="4" t="n">
        <v>93.09999999999999</v>
      </c>
    </row>
    <row r="21" ht="24" customHeight="1">
      <c r="A21" s="9" t="inlineStr">
        <is>
          <t>ИТОГО</t>
        </is>
      </c>
      <c r="B21" s="10">
        <f>SUM(B4:B20)</f>
        <v/>
      </c>
      <c r="C21" s="10">
        <f>SUM(C4:C20)</f>
        <v/>
      </c>
      <c r="D21" s="10">
        <f>SUM(D4:D20)</f>
        <v/>
      </c>
      <c r="E21" s="10">
        <f>SUM(E4:E20)</f>
        <v/>
      </c>
      <c r="F21" s="10">
        <f>SUM(F4:F20)</f>
        <v/>
      </c>
      <c r="G21" s="10">
        <f>SUM(G4:G20)</f>
        <v/>
      </c>
      <c r="H21" s="10">
        <f>SUM(H4:H20)</f>
        <v/>
      </c>
      <c r="I21" s="10">
        <f>SUM(I4:I20)</f>
        <v/>
      </c>
      <c r="J21" s="10">
        <f>SUM(J4:J20)</f>
        <v/>
      </c>
      <c r="K21" s="10">
        <f>SUM(K4:K20)</f>
        <v/>
      </c>
      <c r="L21" s="10">
        <f>SUM(L4:L20)</f>
        <v/>
      </c>
      <c r="M21" s="10">
        <f>SUM(M4:M20)</f>
        <v/>
      </c>
      <c r="N21" s="10">
        <f>AVERAGE(N4:N20)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2026-09-27T12:57:14Z</dcterms:created>
  <dcterms:modified xmlns:dcterms="http://purl.org/dc/terms/" xmlns:xsi="http://www.w3.org/2001/XMLSchema-instance" xsi:type="dcterms:W3CDTF">2026-09-27T12:57:14Z</dcterms:modified>
</cp:coreProperties>
</file>